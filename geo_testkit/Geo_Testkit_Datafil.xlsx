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jost\Documents\natsim\geo_testkit\"/>
    </mc:Choice>
  </mc:AlternateContent>
  <xr:revisionPtr revIDLastSave="0" documentId="13_ncr:1_{C7B9205D-CC0B-49E4-B51E-E1A72E31F587}" xr6:coauthVersionLast="47" xr6:coauthVersionMax="47" xr10:uidLastSave="{00000000-0000-0000-0000-000000000000}"/>
  <bookViews>
    <workbookView xWindow="-28800" yWindow="5535" windowWidth="28800" windowHeight="15345" tabRatio="500" xr2:uid="{00000000-000D-0000-FFFF-FFFF00000000}"/>
  </bookViews>
  <sheets>
    <sheet name="test1_baseline" sheetId="1" r:id="rId1"/>
  </sheets>
  <calcPr calcId="181029" iterateDelta="1E-4"/>
</workbook>
</file>

<file path=xl/calcChain.xml><?xml version="1.0" encoding="utf-8"?>
<calcChain xmlns="http://schemas.openxmlformats.org/spreadsheetml/2006/main">
  <c r="E48" i="1" l="1"/>
  <c r="D48" i="1"/>
  <c r="G46" i="1"/>
  <c r="C46" i="1"/>
  <c r="F46" i="1" s="1"/>
  <c r="C45" i="1"/>
  <c r="C44" i="1"/>
  <c r="C43" i="1"/>
  <c r="C42" i="1"/>
  <c r="C41" i="1"/>
  <c r="C40" i="1"/>
  <c r="C39" i="1"/>
  <c r="C38" i="1"/>
  <c r="C37" i="1"/>
  <c r="C36" i="1"/>
  <c r="C35" i="1"/>
  <c r="F36" i="1" l="1"/>
  <c r="G3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F38" i="1"/>
  <c r="G38" i="1"/>
  <c r="F37" i="1"/>
  <c r="G37" i="1"/>
  <c r="G35" i="1"/>
  <c r="F35" i="1"/>
  <c r="G47" i="1" l="1"/>
  <c r="F47" i="1"/>
</calcChain>
</file>

<file path=xl/sharedStrings.xml><?xml version="1.0" encoding="utf-8"?>
<sst xmlns="http://schemas.openxmlformats.org/spreadsheetml/2006/main" count="126" uniqueCount="72">
  <si>
    <t>test1_baseline — Geo-utfall, NätSim-kärna och oberoende referens</t>
  </si>
  <si>
    <t>Reverse engineering-testkit för NätSim vs SBG Geo. Minimalt, handverifierbart nät.</t>
  </si>
  <si>
    <t>TESTDEFINITION</t>
  </si>
  <si>
    <t>Syfte</t>
  </si>
  <si>
    <t>Verifiera att NätSim-kärnan återger Geos k-tal (redundanstal) för ett trivialt nät. Isolerar orienterings- och centreringsfrågan (α-parametrisering).</t>
  </si>
  <si>
    <t>Nätgeometri</t>
  </si>
  <si>
    <t>Symmetrisk triangel: två anslutningspunkter A och B (200 m isär, öst-väst), nypunkt N1 100 m norr om baslinjen, centrerad. Alla vinklar 50/100 gon.</t>
  </si>
  <si>
    <t>Obekanta (u)</t>
  </si>
  <si>
    <t>5 = N1:s två koordinater + tre orienteringsobekanta (A, B, N1). n = 12 obs, f = n − u = 7 (HMK-Stom 2024 F.6).</t>
  </si>
  <si>
    <t>A priori-spec</t>
  </si>
  <si>
    <t>σ_Hz = 0,135 mgon, 3 helsatser; σ_L = 1,0 mm + 1,0 ppm; σ_c = 1,0 mm/punkt; mätklass G2.</t>
  </si>
  <si>
    <t>Facit</t>
  </si>
  <si>
    <t>Geos utfall nedan (orange) är sanningen som NätSim ska reproducera. Kärnan efter fix träffar det till RMS 0,0003.</t>
  </si>
  <si>
    <t>PUNKTER (N, E i meter)</t>
  </si>
  <si>
    <t>Punkt</t>
  </si>
  <si>
    <t>Typ</t>
  </si>
  <si>
    <t>N</t>
  </si>
  <si>
    <t>E</t>
  </si>
  <si>
    <t>A</t>
  </si>
  <si>
    <t>known</t>
  </si>
  <si>
    <t>B</t>
  </si>
  <si>
    <t>N1</t>
  </si>
  <si>
    <t>new</t>
  </si>
  <si>
    <t>GEO-UTFALL  (SBG Geo, test1_baseline — inmatat/mätt, orange)</t>
  </si>
  <si>
    <t>#</t>
  </si>
  <si>
    <t>Obs.typ</t>
  </si>
  <si>
    <t>Station</t>
  </si>
  <si>
    <t>Objekt</t>
  </si>
  <si>
    <t>A pr StdAvv</t>
  </si>
  <si>
    <t>A pr SD+C</t>
  </si>
  <si>
    <t>StdAvv</t>
  </si>
  <si>
    <t>K-tal</t>
  </si>
  <si>
    <t>MUF</t>
  </si>
  <si>
    <t>YT</t>
  </si>
  <si>
    <t>Riktning</t>
  </si>
  <si>
    <t>Längd</t>
  </si>
  <si>
    <t>Enheter: riktning i gon, längd/MUF/YT i meter. Simulering → Värde/Residual/Utj.värde tomma. Källa: Benjamins Geo-körning test1_baseline.</t>
  </si>
  <si>
    <t>TREVÄGSJÄMFÖRELSE  k-tal  (Geo / NätSim-kärna fixad / oberoende referens)</t>
  </si>
  <si>
    <t>Observation</t>
  </si>
  <si>
    <t>Geo (mätt)</t>
  </si>
  <si>
    <t>NätSim core (fixad)</t>
  </si>
  <si>
    <t>Oberoende referens</t>
  </si>
  <si>
    <t>core − Geo</t>
  </si>
  <si>
    <t>ref − Geo</t>
  </si>
  <si>
    <t>A→B</t>
  </si>
  <si>
    <t>A→N1</t>
  </si>
  <si>
    <t>B→A</t>
  </si>
  <si>
    <t>B→N1</t>
  </si>
  <si>
    <t>N1→A</t>
  </si>
  <si>
    <t>N1→B</t>
  </si>
  <si>
    <t>RMS mot Geo</t>
  </si>
  <si>
    <t>Σ k-tal</t>
  </si>
  <si>
    <t>ska = f = 7</t>
  </si>
  <si>
    <t>A PRIORI-ANALYS  (var den lilla residualen bodde — STÄNGD)</t>
  </si>
  <si>
    <t>Naiv referens vid spec C=1,0 (riktning &amp; längd)</t>
  </si>
  <si>
    <t>A↔B riktning = 0,2311 mot Geos 0,224. ORSAK IDENTIFIERAD: den naiva referensen summerade σ_L helt kvadratiskt, √[A² + (B·L)² + C²]. Reproducerat exakt: kvadratisk σ_L vid C = 1,0 ger 0,2311 / 0,4492 / 0,3134 / 0,7531 — dvs. hela den avvikande sifferserien. Felet satt i σ_L:s kombinationslag, inte i centreringen.</t>
  </si>
  <si>
    <t>Fit mot hela Geo-utfallet (C_längd ≈ 1,10 mm)</t>
  </si>
  <si>
    <t>ARTEFAKT — inte en fysisk centrering. Linjär addition ger (A + B·L)² = A² + 2·A·B·L + (B·L)². Den kvadratiska modellen saknar korstermen 2·A·B·L, och en fit absorberar den i C: C_eff = √(C² + 2·A·B·L). Med A = B = 1: C_eff = 1,133 mm vid L = 141 m och 1,183 mm vid L = 200 m — exakt storleksordningen fit:en fann. C_eff beror alltså på siktlängden och kan därför inte vara en centrering.</t>
  </si>
  <si>
    <t>Kontrollfall, långa sikter (500–1000 m)</t>
  </si>
  <si>
    <t>Samma nät skalat till baslinje 1000 m / sikt 707 m: C_eff = √(1² + 2·1·0,7071) = 1,554 mm respektive √(1² + 2·1·1,0) = 1,732 mm. Den "effektiva C:n" driver från ~1,13 till ~1,73 mm när sikten växer. Bekräftar att korstermen — inte centreringen — är källan. Kärna och referens sammanfaller på 1·10⁻¹⁶ även där (Σkᵢ = f = 7).</t>
  </si>
  <si>
    <t>SVAR: hur byggs längdens centrering?</t>
  </si>
  <si>
    <t>Med EN C-term, √((e₁²+e₂²)/2), identiskt med riktningen — längd och riktning delar samma centreringsterm i src/core/simulation.js och i tests/ref-angle.mjs. Ingen √2-uppräkning, ingen särbehandling. Enligt HMK-Stommätning 2024 Bilaga C.1.2 är u(L) = √[(A + B·L)² + C²]: A och B·L adderas LINJÄRT, först därefter kombineras C kvadratiskt. Hypotes (a) "annan C-kombination för längd" är utesluten (C·√2 ger 0,2033, C/√2 ger 0,2375 — ingendera matchar Geo).</t>
  </si>
  <si>
    <t>Bevis ur Geos EGEN a priori-kolumn</t>
  </si>
  <si>
    <t>Geos kolumn "A pr SD+C" visar 0,002 m för BÅDA längdsikterna. Linjär addition ger 1,5620 mm (200 m) och 1,5175 mm (141 m) → avrundat 0,002 ✓. Kvadratisk summering ger 1,4283 respektive 1,4213 mm → avrundat 0,001 ✗. Geos egen a priori-utdata utesluter alltså den kvadratiska formen direkt, oberoende av k-talen. Riktningarna stämmer likaså: 0,3277 mgon → 0,0003 gon och 0,4569 mgon → 0,0005 gon, exakt Geos värden.</t>
  </si>
  <si>
    <t>Status</t>
  </si>
  <si>
    <t>STÄNGD. Kärnan vid spec C = 1,0 mm återger Geos samtliga 12 kᵢ till RMS 0,0003 utan någon justerad C. Se trevägstabellen ovan.</t>
  </si>
  <si>
    <t>LEGEND &amp; KÄLLOR</t>
  </si>
  <si>
    <t>• Orange fält = Geos utfall (inmatat/mätt). Redigera dessa om du kör om Geo. Grön = beräknat (NätSim-kärna / referens / analys).</t>
  </si>
  <si>
    <t>• core/ref-kolumnerna: NätSim lokala kärna efter F1–F20 samt ref-angle.mjs/ref-båge (sammanfaller på 1·10⁻¹⁶). Källa: Claude Code-rapport, hemmadator.</t>
  </si>
  <si>
    <t>• HMK-Stommätning 2024: F.6 (k-tal = f/n samt individuellt kᵢ), F.13 (MUF = δ₀/√kᵢ · u(lᵢ)), F.14 (YT = (1−kᵢ)·MUF), F.16 (δ₀ = 2,80; α=5 %, β=80 %).</t>
  </si>
  <si>
    <t>• HMK-Stommätning 2024 Bilaga C.1.1 (riktning: u(φ) = √[(A/√n)² + (C/L·ρ)²], enkel C), C.1.2 (längd).</t>
  </si>
  <si>
    <t>• NätSim: repo Vinstmaximering/natsim. kᵢ = diagonalen i redundansmatrisen R = Q_vv·P = I − A(AᵀPA)⁻¹AᵀP (standard utjämningsteori).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</si>
</sst>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000"/>
    <numFmt numFmtId="166" formatCode="0.000"/>
    <numFmt numFmtId="167" formatCode="0.000000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374151"/>
        <bgColor rgb="FF555555"/>
      </patternFill>
    </fill>
    <fill>
      <patternFill patternType="solid">
        <fgColor rgb="FFEFEFEF"/>
        <bgColor rgb="FFFCE5CD"/>
      </patternFill>
    </fill>
    <fill>
      <patternFill patternType="solid">
        <fgColor rgb="FFE69138"/>
        <bgColor rgb="FFFF8080"/>
      </patternFill>
    </fill>
    <fill>
      <patternFill patternType="solid">
        <fgColor rgb="FFFCE5CD"/>
        <bgColor rgb="FFEFEFEF"/>
      </patternFill>
    </fill>
    <fill>
      <patternFill patternType="solid">
        <fgColor rgb="FF6AA84F"/>
        <bgColor rgb="FF969696"/>
      </patternFill>
    </fill>
    <fill>
      <patternFill patternType="solid">
        <fgColor rgb="FFD9EAD3"/>
        <bgColor rgb="FFEFEFEF"/>
      </patternFill>
    </fill>
  </fills>
  <borders count="5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/>
    </xf>
    <xf numFmtId="167" fontId="5" fillId="7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6" fontId="4" fillId="7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3" fillId="4" borderId="0" xfId="0" applyFont="1" applyFill="1"/>
    <xf numFmtId="0" fontId="0" fillId="0" borderId="0" xfId="0"/>
    <xf numFmtId="0" fontId="3" fillId="2" borderId="0" xfId="0" applyFont="1" applyFill="1"/>
    <xf numFmtId="0" fontId="5" fillId="0" borderId="2" xfId="0" applyFont="1" applyBorder="1" applyAlignment="1">
      <alignment horizontal="left" vertical="center" wrapText="1"/>
    </xf>
    <xf numFmtId="0" fontId="0" fillId="0" borderId="3" xfId="0" applyBorder="1"/>
    <xf numFmtId="0" fontId="5" fillId="0" borderId="2" xfId="0" applyFont="1" applyBorder="1" applyAlignment="1">
      <alignment vertical="top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4" fillId="3" borderId="1" xfId="0" applyFont="1" applyFill="1" applyBorder="1" applyAlignment="1">
      <alignment horizontal="left" vertical="center" wrapText="1"/>
    </xf>
    <xf numFmtId="0" fontId="0" fillId="0" borderId="4" xfId="0" applyBorder="1"/>
    <xf numFmtId="0" fontId="3" fillId="6" borderId="0" xfId="0" applyFont="1" applyFill="1"/>
    <xf numFmtId="0" fontId="0" fillId="0" borderId="0" xfId="0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FEFE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E69138"/>
      <rgbColor rgb="FFFF6600"/>
      <rgbColor rgb="FF555555"/>
      <rgbColor rgb="FF969696"/>
      <rgbColor rgb="FF003366"/>
      <rgbColor rgb="FF6AA84F"/>
      <rgbColor rgb="FF003300"/>
      <rgbColor rgb="FF333300"/>
      <rgbColor rgb="FF993300"/>
      <rgbColor rgb="FF993366"/>
      <rgbColor rgb="FF333399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zoomScaleNormal="100" workbookViewId="0">
      <selection sqref="A1:J1"/>
    </sheetView>
  </sheetViews>
  <sheetFormatPr defaultColWidth="8.7109375" defaultRowHeight="15" x14ac:dyDescent="0.25"/>
  <cols>
    <col min="1" max="1" width="16" customWidth="1"/>
    <col min="2" max="2" width="12" customWidth="1"/>
    <col min="3" max="3" width="15" customWidth="1"/>
    <col min="4" max="4" width="19" customWidth="1"/>
    <col min="5" max="5" width="18" customWidth="1"/>
    <col min="6" max="6" width="13" customWidth="1"/>
    <col min="7" max="7" width="12" customWidth="1"/>
    <col min="8" max="10" width="10" customWidth="1"/>
  </cols>
  <sheetData>
    <row r="1" spans="1:10" ht="17.45" customHeight="1" x14ac:dyDescent="0.25">
      <c r="A1" s="23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5" customHeight="1" x14ac:dyDescent="0.25">
      <c r="A2" s="28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4" spans="1:10" ht="15" customHeight="1" x14ac:dyDescent="0.25">
      <c r="A4" s="18" t="s">
        <v>2</v>
      </c>
      <c r="B4" s="17"/>
      <c r="C4" s="17"/>
      <c r="D4" s="17"/>
      <c r="E4" s="17"/>
      <c r="F4" s="17"/>
      <c r="G4" s="17"/>
      <c r="H4" s="17"/>
      <c r="I4" s="17"/>
      <c r="J4" s="17"/>
    </row>
    <row r="5" spans="1:10" ht="30" customHeight="1" x14ac:dyDescent="0.25">
      <c r="A5" s="1" t="s">
        <v>3</v>
      </c>
      <c r="B5" s="19" t="s">
        <v>4</v>
      </c>
      <c r="C5" s="20"/>
      <c r="D5" s="20"/>
      <c r="E5" s="20"/>
      <c r="F5" s="20"/>
      <c r="G5" s="20"/>
      <c r="H5" s="20"/>
      <c r="I5" s="20"/>
      <c r="J5" s="20"/>
    </row>
    <row r="6" spans="1:10" ht="30" customHeight="1" x14ac:dyDescent="0.25">
      <c r="A6" s="1" t="s">
        <v>5</v>
      </c>
      <c r="B6" s="19" t="s">
        <v>6</v>
      </c>
      <c r="C6" s="20"/>
      <c r="D6" s="20"/>
      <c r="E6" s="20"/>
      <c r="F6" s="20"/>
      <c r="G6" s="20"/>
      <c r="H6" s="20"/>
      <c r="I6" s="20"/>
      <c r="J6" s="20"/>
    </row>
    <row r="7" spans="1:10" ht="30" customHeight="1" x14ac:dyDescent="0.25">
      <c r="A7" s="1" t="s">
        <v>7</v>
      </c>
      <c r="B7" s="19" t="s">
        <v>8</v>
      </c>
      <c r="C7" s="20"/>
      <c r="D7" s="20"/>
      <c r="E7" s="20"/>
      <c r="F7" s="20"/>
      <c r="G7" s="20"/>
      <c r="H7" s="20"/>
      <c r="I7" s="20"/>
      <c r="J7" s="20"/>
    </row>
    <row r="8" spans="1:10" ht="30" customHeight="1" x14ac:dyDescent="0.25">
      <c r="A8" s="1" t="s">
        <v>9</v>
      </c>
      <c r="B8" s="19" t="s">
        <v>10</v>
      </c>
      <c r="C8" s="20"/>
      <c r="D8" s="20"/>
      <c r="E8" s="20"/>
      <c r="F8" s="20"/>
      <c r="G8" s="20"/>
      <c r="H8" s="20"/>
      <c r="I8" s="20"/>
      <c r="J8" s="20"/>
    </row>
    <row r="9" spans="1:10" ht="30" customHeight="1" x14ac:dyDescent="0.25">
      <c r="A9" s="1" t="s">
        <v>11</v>
      </c>
      <c r="B9" s="19" t="s">
        <v>12</v>
      </c>
      <c r="C9" s="20"/>
      <c r="D9" s="20"/>
      <c r="E9" s="20"/>
      <c r="F9" s="20"/>
      <c r="G9" s="20"/>
      <c r="H9" s="20"/>
      <c r="I9" s="20"/>
      <c r="J9" s="20"/>
    </row>
    <row r="11" spans="1:10" ht="15" customHeight="1" x14ac:dyDescent="0.25">
      <c r="A11" s="18" t="s">
        <v>13</v>
      </c>
      <c r="B11" s="17"/>
      <c r="C11" s="17"/>
      <c r="D11" s="17"/>
    </row>
    <row r="12" spans="1:10" ht="15" customHeight="1" x14ac:dyDescent="0.25">
      <c r="A12" s="2" t="s">
        <v>14</v>
      </c>
      <c r="B12" s="2" t="s">
        <v>15</v>
      </c>
      <c r="C12" s="2" t="s">
        <v>16</v>
      </c>
      <c r="D12" s="2" t="s">
        <v>17</v>
      </c>
    </row>
    <row r="13" spans="1:10" ht="15" customHeight="1" x14ac:dyDescent="0.25">
      <c r="A13" s="3" t="s">
        <v>18</v>
      </c>
      <c r="B13" s="3" t="s">
        <v>19</v>
      </c>
      <c r="C13" s="4">
        <v>7000000</v>
      </c>
      <c r="D13" s="4">
        <v>100000</v>
      </c>
    </row>
    <row r="14" spans="1:10" ht="15" customHeight="1" x14ac:dyDescent="0.25">
      <c r="A14" s="3" t="s">
        <v>20</v>
      </c>
      <c r="B14" s="3" t="s">
        <v>19</v>
      </c>
      <c r="C14" s="4">
        <v>7000000</v>
      </c>
      <c r="D14" s="4">
        <v>100200</v>
      </c>
    </row>
    <row r="15" spans="1:10" ht="15" customHeight="1" x14ac:dyDescent="0.25">
      <c r="A15" s="3" t="s">
        <v>21</v>
      </c>
      <c r="B15" s="3" t="s">
        <v>22</v>
      </c>
      <c r="C15" s="4">
        <v>7000100</v>
      </c>
      <c r="D15" s="4">
        <v>100100</v>
      </c>
    </row>
    <row r="17" spans="1:10" ht="15" customHeight="1" x14ac:dyDescent="0.25">
      <c r="A17" s="16" t="s">
        <v>23</v>
      </c>
      <c r="B17" s="17"/>
      <c r="C17" s="17"/>
      <c r="D17" s="17"/>
      <c r="E17" s="17"/>
      <c r="F17" s="17"/>
      <c r="G17" s="17"/>
      <c r="H17" s="17"/>
      <c r="I17" s="17"/>
      <c r="J17" s="17"/>
    </row>
    <row r="18" spans="1:10" ht="15" customHeight="1" x14ac:dyDescent="0.25">
      <c r="A18" s="5" t="s">
        <v>24</v>
      </c>
      <c r="B18" s="5" t="s">
        <v>25</v>
      </c>
      <c r="C18" s="5" t="s">
        <v>26</v>
      </c>
      <c r="D18" s="5" t="s">
        <v>27</v>
      </c>
      <c r="E18" s="5" t="s">
        <v>28</v>
      </c>
      <c r="F18" s="5" t="s">
        <v>29</v>
      </c>
      <c r="G18" s="5" t="s">
        <v>30</v>
      </c>
      <c r="H18" s="5" t="s">
        <v>31</v>
      </c>
      <c r="I18" s="5" t="s">
        <v>32</v>
      </c>
      <c r="J18" s="5" t="s">
        <v>33</v>
      </c>
    </row>
    <row r="19" spans="1:10" ht="15" customHeight="1" x14ac:dyDescent="0.25">
      <c r="A19" s="6">
        <v>1</v>
      </c>
      <c r="B19" s="6" t="s">
        <v>34</v>
      </c>
      <c r="C19" s="6" t="s">
        <v>18</v>
      </c>
      <c r="D19" s="6" t="s">
        <v>20</v>
      </c>
      <c r="E19" s="7">
        <v>1E-4</v>
      </c>
      <c r="F19" s="7">
        <v>2.9999999999999997E-4</v>
      </c>
      <c r="G19" s="7">
        <v>2.9999999999999997E-4</v>
      </c>
      <c r="H19" s="8">
        <v>0.224</v>
      </c>
      <c r="I19" s="7">
        <v>1.9E-3</v>
      </c>
      <c r="J19" s="7">
        <v>1.5E-3</v>
      </c>
    </row>
    <row r="20" spans="1:10" ht="15" customHeight="1" x14ac:dyDescent="0.25">
      <c r="A20" s="6">
        <v>2</v>
      </c>
      <c r="B20" s="6" t="s">
        <v>35</v>
      </c>
      <c r="C20" s="6" t="s">
        <v>18</v>
      </c>
      <c r="D20" s="6" t="s">
        <v>20</v>
      </c>
      <c r="E20" s="7">
        <v>1E-3</v>
      </c>
      <c r="F20" s="7">
        <v>2E-3</v>
      </c>
      <c r="G20" s="7">
        <v>0</v>
      </c>
      <c r="H20" s="8">
        <v>1</v>
      </c>
      <c r="I20" s="7">
        <v>4.0000000000000001E-3</v>
      </c>
      <c r="J20" s="7">
        <v>0</v>
      </c>
    </row>
    <row r="21" spans="1:10" ht="15" customHeight="1" x14ac:dyDescent="0.25">
      <c r="A21" s="6">
        <v>3</v>
      </c>
      <c r="B21" s="6" t="s">
        <v>34</v>
      </c>
      <c r="C21" s="6" t="s">
        <v>18</v>
      </c>
      <c r="D21" s="6" t="s">
        <v>21</v>
      </c>
      <c r="E21" s="7">
        <v>1E-4</v>
      </c>
      <c r="F21" s="7">
        <v>5.0000000000000001E-4</v>
      </c>
      <c r="G21" s="7">
        <v>2.9999999999999997E-4</v>
      </c>
      <c r="H21" s="8">
        <v>0.435</v>
      </c>
      <c r="I21" s="7">
        <v>1.9E-3</v>
      </c>
      <c r="J21" s="7">
        <v>1.1000000000000001E-3</v>
      </c>
    </row>
    <row r="22" spans="1:10" ht="15" customHeight="1" x14ac:dyDescent="0.25">
      <c r="A22" s="6">
        <v>4</v>
      </c>
      <c r="B22" s="6" t="s">
        <v>35</v>
      </c>
      <c r="C22" s="6" t="s">
        <v>18</v>
      </c>
      <c r="D22" s="6" t="s">
        <v>21</v>
      </c>
      <c r="E22" s="7">
        <v>1E-3</v>
      </c>
      <c r="F22" s="7">
        <v>2E-3</v>
      </c>
      <c r="G22" s="7">
        <v>1E-3</v>
      </c>
      <c r="H22" s="8">
        <v>0.76900000000000002</v>
      </c>
      <c r="I22" s="7">
        <v>5.0000000000000001E-3</v>
      </c>
      <c r="J22" s="7">
        <v>1E-3</v>
      </c>
    </row>
    <row r="23" spans="1:10" ht="15" customHeight="1" x14ac:dyDescent="0.25">
      <c r="A23" s="6">
        <v>5</v>
      </c>
      <c r="B23" s="6" t="s">
        <v>34</v>
      </c>
      <c r="C23" s="6" t="s">
        <v>20</v>
      </c>
      <c r="D23" s="6" t="s">
        <v>18</v>
      </c>
      <c r="E23" s="7">
        <v>1E-4</v>
      </c>
      <c r="F23" s="7">
        <v>2.9999999999999997E-4</v>
      </c>
      <c r="G23" s="7">
        <v>2.9999999999999997E-4</v>
      </c>
      <c r="H23" s="8">
        <v>0.224</v>
      </c>
      <c r="I23" s="7">
        <v>1.9E-3</v>
      </c>
      <c r="J23" s="7">
        <v>1.5E-3</v>
      </c>
    </row>
    <row r="24" spans="1:10" ht="15" customHeight="1" x14ac:dyDescent="0.25">
      <c r="A24" s="6">
        <v>6</v>
      </c>
      <c r="B24" s="6" t="s">
        <v>35</v>
      </c>
      <c r="C24" s="6" t="s">
        <v>20</v>
      </c>
      <c r="D24" s="6" t="s">
        <v>18</v>
      </c>
      <c r="E24" s="7">
        <v>1E-3</v>
      </c>
      <c r="F24" s="7">
        <v>2E-3</v>
      </c>
      <c r="G24" s="7">
        <v>0</v>
      </c>
      <c r="H24" s="8">
        <v>1</v>
      </c>
      <c r="I24" s="7">
        <v>4.0000000000000001E-3</v>
      </c>
      <c r="J24" s="7">
        <v>0</v>
      </c>
    </row>
    <row r="25" spans="1:10" ht="15" customHeight="1" x14ac:dyDescent="0.25">
      <c r="A25" s="6">
        <v>7</v>
      </c>
      <c r="B25" s="6" t="s">
        <v>34</v>
      </c>
      <c r="C25" s="6" t="s">
        <v>20</v>
      </c>
      <c r="D25" s="6" t="s">
        <v>21</v>
      </c>
      <c r="E25" s="7">
        <v>1E-4</v>
      </c>
      <c r="F25" s="7">
        <v>5.0000000000000001E-4</v>
      </c>
      <c r="G25" s="7">
        <v>2.9999999999999997E-4</v>
      </c>
      <c r="H25" s="8">
        <v>0.435</v>
      </c>
      <c r="I25" s="7">
        <v>1.9E-3</v>
      </c>
      <c r="J25" s="7">
        <v>1.1000000000000001E-3</v>
      </c>
    </row>
    <row r="26" spans="1:10" ht="15" customHeight="1" x14ac:dyDescent="0.25">
      <c r="A26" s="6">
        <v>8</v>
      </c>
      <c r="B26" s="6" t="s">
        <v>35</v>
      </c>
      <c r="C26" s="6" t="s">
        <v>20</v>
      </c>
      <c r="D26" s="6" t="s">
        <v>21</v>
      </c>
      <c r="E26" s="7">
        <v>1E-3</v>
      </c>
      <c r="F26" s="7">
        <v>2E-3</v>
      </c>
      <c r="G26" s="7">
        <v>1E-3</v>
      </c>
      <c r="H26" s="8">
        <v>0.76900000000000002</v>
      </c>
      <c r="I26" s="7">
        <v>5.0000000000000001E-3</v>
      </c>
      <c r="J26" s="7">
        <v>1E-3</v>
      </c>
    </row>
    <row r="27" spans="1:10" ht="15" customHeight="1" x14ac:dyDescent="0.25">
      <c r="A27" s="6">
        <v>9</v>
      </c>
      <c r="B27" s="6" t="s">
        <v>34</v>
      </c>
      <c r="C27" s="6" t="s">
        <v>21</v>
      </c>
      <c r="D27" s="6" t="s">
        <v>18</v>
      </c>
      <c r="E27" s="7">
        <v>1E-4</v>
      </c>
      <c r="F27" s="7">
        <v>5.0000000000000001E-4</v>
      </c>
      <c r="G27" s="7">
        <v>4.0000000000000002E-4</v>
      </c>
      <c r="H27" s="8">
        <v>0.30399999999999999</v>
      </c>
      <c r="I27" s="7">
        <v>2.3E-3</v>
      </c>
      <c r="J27" s="7">
        <v>1.6000000000000001E-3</v>
      </c>
    </row>
    <row r="28" spans="1:10" ht="15" customHeight="1" x14ac:dyDescent="0.25">
      <c r="A28" s="6">
        <v>10</v>
      </c>
      <c r="B28" s="6" t="s">
        <v>35</v>
      </c>
      <c r="C28" s="6" t="s">
        <v>21</v>
      </c>
      <c r="D28" s="6" t="s">
        <v>18</v>
      </c>
      <c r="E28" s="7">
        <v>1E-3</v>
      </c>
      <c r="F28" s="7">
        <v>2E-3</v>
      </c>
      <c r="G28" s="7">
        <v>1E-3</v>
      </c>
      <c r="H28" s="8">
        <v>0.76900000000000002</v>
      </c>
      <c r="I28" s="7">
        <v>5.0000000000000001E-3</v>
      </c>
      <c r="J28" s="7">
        <v>1E-3</v>
      </c>
    </row>
    <row r="29" spans="1:10" ht="15" customHeight="1" x14ac:dyDescent="0.25">
      <c r="A29" s="6">
        <v>11</v>
      </c>
      <c r="B29" s="6" t="s">
        <v>34</v>
      </c>
      <c r="C29" s="6" t="s">
        <v>21</v>
      </c>
      <c r="D29" s="6" t="s">
        <v>20</v>
      </c>
      <c r="E29" s="7">
        <v>1E-4</v>
      </c>
      <c r="F29" s="7">
        <v>5.0000000000000001E-4</v>
      </c>
      <c r="G29" s="7">
        <v>4.0000000000000002E-4</v>
      </c>
      <c r="H29" s="8">
        <v>0.30399999999999999</v>
      </c>
      <c r="I29" s="7">
        <v>2.3E-3</v>
      </c>
      <c r="J29" s="7">
        <v>1.6000000000000001E-3</v>
      </c>
    </row>
    <row r="30" spans="1:10" ht="15" customHeight="1" x14ac:dyDescent="0.25">
      <c r="A30" s="6">
        <v>12</v>
      </c>
      <c r="B30" s="6" t="s">
        <v>35</v>
      </c>
      <c r="C30" s="6" t="s">
        <v>21</v>
      </c>
      <c r="D30" s="6" t="s">
        <v>20</v>
      </c>
      <c r="E30" s="7">
        <v>1E-3</v>
      </c>
      <c r="F30" s="7">
        <v>2E-3</v>
      </c>
      <c r="G30" s="7">
        <v>1E-3</v>
      </c>
      <c r="H30" s="8">
        <v>0.76900000000000002</v>
      </c>
      <c r="I30" s="7">
        <v>5.0000000000000001E-3</v>
      </c>
      <c r="J30" s="7">
        <v>1E-3</v>
      </c>
    </row>
    <row r="31" spans="1:10" ht="15" customHeight="1" x14ac:dyDescent="0.25">
      <c r="A31" s="22" t="s">
        <v>36</v>
      </c>
      <c r="B31" s="17"/>
      <c r="C31" s="17"/>
      <c r="D31" s="17"/>
      <c r="E31" s="17"/>
      <c r="F31" s="17"/>
      <c r="G31" s="17"/>
      <c r="H31" s="17"/>
      <c r="I31" s="17"/>
      <c r="J31" s="17"/>
    </row>
    <row r="33" spans="1:8" ht="15" customHeight="1" x14ac:dyDescent="0.25">
      <c r="A33" s="26" t="s">
        <v>37</v>
      </c>
      <c r="B33" s="17"/>
      <c r="C33" s="17"/>
      <c r="D33" s="17"/>
      <c r="E33" s="17"/>
      <c r="F33" s="17"/>
      <c r="G33" s="17"/>
      <c r="H33" s="17"/>
    </row>
    <row r="34" spans="1:8" ht="15" customHeight="1" x14ac:dyDescent="0.25">
      <c r="A34" s="10" t="s">
        <v>38</v>
      </c>
      <c r="B34" s="10" t="s">
        <v>15</v>
      </c>
      <c r="C34" s="10" t="s">
        <v>39</v>
      </c>
      <c r="D34" s="10" t="s">
        <v>40</v>
      </c>
      <c r="E34" s="10" t="s">
        <v>41</v>
      </c>
      <c r="F34" s="10" t="s">
        <v>42</v>
      </c>
      <c r="G34" s="10" t="s">
        <v>43</v>
      </c>
    </row>
    <row r="35" spans="1:8" ht="15" customHeight="1" x14ac:dyDescent="0.25">
      <c r="A35" s="3" t="s">
        <v>44</v>
      </c>
      <c r="B35" s="3" t="s">
        <v>34</v>
      </c>
      <c r="C35" s="8">
        <f t="shared" ref="C35:C46" si="0">H19</f>
        <v>0.224</v>
      </c>
      <c r="D35" s="11">
        <v>0.22370100000000001</v>
      </c>
      <c r="E35" s="11">
        <v>0.22370100000000001</v>
      </c>
      <c r="F35" s="12">
        <f t="shared" ref="F35:F46" si="1">D35-C35</f>
        <v>-2.9899999999999372E-4</v>
      </c>
      <c r="G35" s="12">
        <f t="shared" ref="G35:G46" si="2">E35-C35</f>
        <v>-2.9899999999999372E-4</v>
      </c>
    </row>
    <row r="36" spans="1:8" ht="15" customHeight="1" x14ac:dyDescent="0.25">
      <c r="A36" s="3" t="s">
        <v>44</v>
      </c>
      <c r="B36" s="3" t="s">
        <v>35</v>
      </c>
      <c r="C36" s="8">
        <f t="shared" si="0"/>
        <v>1</v>
      </c>
      <c r="D36" s="11">
        <v>1</v>
      </c>
      <c r="E36" s="11">
        <v>1</v>
      </c>
      <c r="F36" s="12">
        <f t="shared" si="1"/>
        <v>0</v>
      </c>
      <c r="G36" s="12">
        <f t="shared" si="2"/>
        <v>0</v>
      </c>
    </row>
    <row r="37" spans="1:8" ht="15" customHeight="1" x14ac:dyDescent="0.25">
      <c r="A37" s="3" t="s">
        <v>45</v>
      </c>
      <c r="B37" s="3" t="s">
        <v>34</v>
      </c>
      <c r="C37" s="8">
        <f t="shared" si="0"/>
        <v>0.435</v>
      </c>
      <c r="D37" s="11">
        <v>0.43474800000000002</v>
      </c>
      <c r="E37" s="11">
        <v>0.43474800000000002</v>
      </c>
      <c r="F37" s="12">
        <f t="shared" si="1"/>
        <v>-2.5199999999997447E-4</v>
      </c>
      <c r="G37" s="12">
        <f t="shared" si="2"/>
        <v>-2.5199999999997447E-4</v>
      </c>
    </row>
    <row r="38" spans="1:8" ht="15" customHeight="1" x14ac:dyDescent="0.25">
      <c r="A38" s="3" t="s">
        <v>45</v>
      </c>
      <c r="B38" s="3" t="s">
        <v>35</v>
      </c>
      <c r="C38" s="8">
        <f t="shared" si="0"/>
        <v>0.76900000000000002</v>
      </c>
      <c r="D38" s="11">
        <v>0.76863099999999995</v>
      </c>
      <c r="E38" s="11">
        <v>0.76863099999999995</v>
      </c>
      <c r="F38" s="12">
        <f t="shared" si="1"/>
        <v>-3.6900000000006372E-4</v>
      </c>
      <c r="G38" s="12">
        <f t="shared" si="2"/>
        <v>-3.6900000000006372E-4</v>
      </c>
    </row>
    <row r="39" spans="1:8" ht="15" customHeight="1" x14ac:dyDescent="0.25">
      <c r="A39" s="3" t="s">
        <v>46</v>
      </c>
      <c r="B39" s="3" t="s">
        <v>34</v>
      </c>
      <c r="C39" s="8">
        <f t="shared" si="0"/>
        <v>0.224</v>
      </c>
      <c r="D39" s="11">
        <v>0.22370100000000001</v>
      </c>
      <c r="E39" s="11">
        <v>0.22370100000000001</v>
      </c>
      <c r="F39" s="12">
        <f t="shared" si="1"/>
        <v>-2.9899999999999372E-4</v>
      </c>
      <c r="G39" s="12">
        <f t="shared" si="2"/>
        <v>-2.9899999999999372E-4</v>
      </c>
    </row>
    <row r="40" spans="1:8" ht="15" customHeight="1" x14ac:dyDescent="0.25">
      <c r="A40" s="3" t="s">
        <v>46</v>
      </c>
      <c r="B40" s="3" t="s">
        <v>35</v>
      </c>
      <c r="C40" s="8">
        <f t="shared" si="0"/>
        <v>1</v>
      </c>
      <c r="D40" s="11">
        <v>1</v>
      </c>
      <c r="E40" s="11">
        <v>1</v>
      </c>
      <c r="F40" s="12">
        <f t="shared" si="1"/>
        <v>0</v>
      </c>
      <c r="G40" s="12">
        <f t="shared" si="2"/>
        <v>0</v>
      </c>
    </row>
    <row r="41" spans="1:8" ht="15" customHeight="1" x14ac:dyDescent="0.25">
      <c r="A41" s="3" t="s">
        <v>47</v>
      </c>
      <c r="B41" s="3" t="s">
        <v>34</v>
      </c>
      <c r="C41" s="8">
        <f t="shared" si="0"/>
        <v>0.435</v>
      </c>
      <c r="D41" s="11">
        <v>0.43474800000000002</v>
      </c>
      <c r="E41" s="11">
        <v>0.43474800000000002</v>
      </c>
      <c r="F41" s="12">
        <f t="shared" si="1"/>
        <v>-2.5199999999997447E-4</v>
      </c>
      <c r="G41" s="12">
        <f t="shared" si="2"/>
        <v>-2.5199999999997447E-4</v>
      </c>
    </row>
    <row r="42" spans="1:8" ht="15" customHeight="1" x14ac:dyDescent="0.25">
      <c r="A42" s="3" t="s">
        <v>47</v>
      </c>
      <c r="B42" s="3" t="s">
        <v>35</v>
      </c>
      <c r="C42" s="8">
        <f t="shared" si="0"/>
        <v>0.76900000000000002</v>
      </c>
      <c r="D42" s="11">
        <v>0.76863099999999995</v>
      </c>
      <c r="E42" s="11">
        <v>0.76863099999999995</v>
      </c>
      <c r="F42" s="12">
        <f t="shared" si="1"/>
        <v>-3.6900000000006372E-4</v>
      </c>
      <c r="G42" s="12">
        <f t="shared" si="2"/>
        <v>-3.6900000000006372E-4</v>
      </c>
    </row>
    <row r="43" spans="1:8" ht="15" customHeight="1" x14ac:dyDescent="0.25">
      <c r="A43" s="3" t="s">
        <v>48</v>
      </c>
      <c r="B43" s="3" t="s">
        <v>34</v>
      </c>
      <c r="C43" s="8">
        <f t="shared" si="0"/>
        <v>0.30399999999999999</v>
      </c>
      <c r="D43" s="11">
        <v>0.30428899999999998</v>
      </c>
      <c r="E43" s="11">
        <v>0.30428899999999998</v>
      </c>
      <c r="F43" s="12">
        <f t="shared" si="1"/>
        <v>2.8899999999998371E-4</v>
      </c>
      <c r="G43" s="12">
        <f t="shared" si="2"/>
        <v>2.8899999999998371E-4</v>
      </c>
    </row>
    <row r="44" spans="1:8" ht="15" customHeight="1" x14ac:dyDescent="0.25">
      <c r="A44" s="3" t="s">
        <v>48</v>
      </c>
      <c r="B44" s="3" t="s">
        <v>35</v>
      </c>
      <c r="C44" s="8">
        <f t="shared" si="0"/>
        <v>0.76900000000000002</v>
      </c>
      <c r="D44" s="11">
        <v>0.76863099999999995</v>
      </c>
      <c r="E44" s="11">
        <v>0.76863099999999995</v>
      </c>
      <c r="F44" s="12">
        <f t="shared" si="1"/>
        <v>-3.6900000000006372E-4</v>
      </c>
      <c r="G44" s="12">
        <f t="shared" si="2"/>
        <v>-3.6900000000006372E-4</v>
      </c>
    </row>
    <row r="45" spans="1:8" ht="15" customHeight="1" x14ac:dyDescent="0.25">
      <c r="A45" s="3" t="s">
        <v>49</v>
      </c>
      <c r="B45" s="3" t="s">
        <v>34</v>
      </c>
      <c r="C45" s="8">
        <f t="shared" si="0"/>
        <v>0.30399999999999999</v>
      </c>
      <c r="D45" s="11">
        <v>0.30428899999999998</v>
      </c>
      <c r="E45" s="11">
        <v>0.30428899999999998</v>
      </c>
      <c r="F45" s="12">
        <f t="shared" si="1"/>
        <v>2.8899999999998371E-4</v>
      </c>
      <c r="G45" s="12">
        <f t="shared" si="2"/>
        <v>2.8899999999998371E-4</v>
      </c>
    </row>
    <row r="46" spans="1:8" ht="15" customHeight="1" x14ac:dyDescent="0.25">
      <c r="A46" s="3" t="s">
        <v>49</v>
      </c>
      <c r="B46" s="3" t="s">
        <v>35</v>
      </c>
      <c r="C46" s="8">
        <f t="shared" si="0"/>
        <v>0.76900000000000002</v>
      </c>
      <c r="D46" s="11">
        <v>0.76863099999999995</v>
      </c>
      <c r="E46" s="11">
        <v>0.76863099999999995</v>
      </c>
      <c r="F46" s="12">
        <f t="shared" si="1"/>
        <v>-3.6900000000006372E-4</v>
      </c>
      <c r="G46" s="12">
        <f t="shared" si="2"/>
        <v>-3.6900000000006372E-4</v>
      </c>
    </row>
    <row r="47" spans="1:8" ht="15" customHeight="1" x14ac:dyDescent="0.25">
      <c r="A47" s="24" t="s">
        <v>50</v>
      </c>
      <c r="B47" s="20"/>
      <c r="C47" s="20"/>
      <c r="D47" s="20"/>
      <c r="E47" s="25"/>
      <c r="F47" s="13">
        <f>SQRT(SUMSQ(F35:F46)/COUNT(F35:F46))</f>
        <v>2.911895144632524E-4</v>
      </c>
      <c r="G47" s="13">
        <f>SQRT(SUMSQ(G35:G46)/COUNT(G35:G46))</f>
        <v>2.911895144632524E-4</v>
      </c>
    </row>
    <row r="48" spans="1:8" ht="15" customHeight="1" x14ac:dyDescent="0.25">
      <c r="A48" s="24" t="s">
        <v>51</v>
      </c>
      <c r="B48" s="20"/>
      <c r="C48" s="25"/>
      <c r="D48" s="14">
        <f>SUM(D35:D46)</f>
        <v>7</v>
      </c>
      <c r="E48" s="14">
        <f>SUM(E35:E46)</f>
        <v>7</v>
      </c>
      <c r="F48" s="9" t="s">
        <v>52</v>
      </c>
    </row>
    <row r="50" spans="1:10" ht="15" customHeight="1" x14ac:dyDescent="0.25">
      <c r="A50" s="18" t="s">
        <v>53</v>
      </c>
      <c r="B50" s="17"/>
      <c r="C50" s="17"/>
      <c r="D50" s="17"/>
      <c r="E50" s="17"/>
      <c r="F50" s="17"/>
      <c r="G50" s="17"/>
      <c r="H50" s="17"/>
      <c r="I50" s="17"/>
      <c r="J50" s="17"/>
    </row>
    <row r="51" spans="1:10" ht="30" customHeight="1" x14ac:dyDescent="0.25">
      <c r="A51" s="1" t="s">
        <v>54</v>
      </c>
      <c r="B51" s="21" t="s">
        <v>55</v>
      </c>
      <c r="C51" s="20"/>
      <c r="D51" s="20"/>
      <c r="E51" s="20"/>
      <c r="F51" s="20"/>
      <c r="G51" s="20"/>
      <c r="H51" s="20"/>
      <c r="I51" s="20"/>
      <c r="J51" s="20"/>
    </row>
    <row r="52" spans="1:10" ht="30" customHeight="1" x14ac:dyDescent="0.25">
      <c r="A52" s="1" t="s">
        <v>56</v>
      </c>
      <c r="B52" s="21" t="s">
        <v>57</v>
      </c>
      <c r="C52" s="20"/>
      <c r="D52" s="20"/>
      <c r="E52" s="20"/>
      <c r="F52" s="20"/>
      <c r="G52" s="20"/>
      <c r="H52" s="20"/>
      <c r="I52" s="20"/>
      <c r="J52" s="20"/>
    </row>
    <row r="53" spans="1:10" ht="30" customHeight="1" x14ac:dyDescent="0.25">
      <c r="A53" s="1" t="s">
        <v>58</v>
      </c>
      <c r="B53" s="21" t="s">
        <v>59</v>
      </c>
      <c r="C53" s="20"/>
      <c r="D53" s="20"/>
      <c r="E53" s="20"/>
      <c r="F53" s="20"/>
      <c r="G53" s="20"/>
      <c r="H53" s="20"/>
      <c r="I53" s="20"/>
      <c r="J53" s="20"/>
    </row>
    <row r="54" spans="1:10" ht="30" customHeight="1" x14ac:dyDescent="0.25">
      <c r="A54" s="1" t="s">
        <v>60</v>
      </c>
      <c r="B54" s="21" t="s">
        <v>61</v>
      </c>
      <c r="C54" s="20"/>
      <c r="D54" s="20"/>
      <c r="E54" s="20"/>
      <c r="F54" s="20"/>
      <c r="G54" s="20"/>
      <c r="H54" s="20"/>
      <c r="I54" s="20"/>
      <c r="J54" s="20"/>
    </row>
    <row r="55" spans="1:10" ht="195" customHeight="1" x14ac:dyDescent="0.25">
      <c r="A55" s="1" t="s">
        <v>62</v>
      </c>
      <c r="B55" s="15" t="s">
        <v>63</v>
      </c>
    </row>
    <row r="56" spans="1:10" ht="15" customHeight="1" x14ac:dyDescent="0.25">
      <c r="A56" s="24" t="s">
        <v>64</v>
      </c>
      <c r="B56" s="27" t="s">
        <v>65</v>
      </c>
      <c r="C56" s="17"/>
      <c r="D56" s="17"/>
      <c r="E56" s="17"/>
      <c r="F56" s="17"/>
      <c r="G56" s="17"/>
      <c r="H56" s="17"/>
      <c r="I56" s="17"/>
      <c r="J56" s="17"/>
    </row>
    <row r="57" spans="1:10" ht="25.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</row>
    <row r="58" spans="1:10" ht="25.5" customHeight="1" x14ac:dyDescent="0.25">
      <c r="A58" s="18" t="s">
        <v>66</v>
      </c>
      <c r="B58" s="17"/>
      <c r="C58" s="17"/>
      <c r="D58" s="17"/>
      <c r="E58" s="17"/>
      <c r="F58" s="17"/>
      <c r="G58" s="17"/>
      <c r="H58" s="17"/>
      <c r="I58" s="17"/>
      <c r="J58" s="17"/>
    </row>
    <row r="59" spans="1:10" ht="25.5" customHeight="1" x14ac:dyDescent="0.25">
      <c r="A59" s="22" t="s">
        <v>67</v>
      </c>
      <c r="B59" s="17"/>
      <c r="C59" s="17"/>
      <c r="D59" s="17"/>
      <c r="E59" s="17"/>
      <c r="F59" s="17"/>
      <c r="G59" s="17"/>
      <c r="H59" s="17"/>
      <c r="I59" s="17"/>
      <c r="J59" s="17"/>
    </row>
    <row r="60" spans="1:10" ht="25.5" customHeight="1" x14ac:dyDescent="0.25">
      <c r="A60" s="22" t="s">
        <v>68</v>
      </c>
      <c r="B60" s="17"/>
      <c r="C60" s="17"/>
      <c r="D60" s="17"/>
      <c r="E60" s="17"/>
      <c r="F60" s="17"/>
      <c r="G60" s="17"/>
      <c r="H60" s="17"/>
      <c r="I60" s="17"/>
      <c r="J60" s="17"/>
    </row>
    <row r="61" spans="1:10" ht="25.5" customHeight="1" x14ac:dyDescent="0.25">
      <c r="A61" s="22" t="s">
        <v>69</v>
      </c>
      <c r="B61" s="17"/>
      <c r="C61" s="17"/>
      <c r="D61" s="17"/>
      <c r="E61" s="17"/>
      <c r="F61" s="17"/>
      <c r="G61" s="17"/>
      <c r="H61" s="17"/>
      <c r="I61" s="17"/>
      <c r="J61" s="17"/>
    </row>
    <row r="62" spans="1:10" ht="108" customHeight="1" x14ac:dyDescent="0.25">
      <c r="A62" s="9" t="s">
        <v>70</v>
      </c>
    </row>
    <row r="63" spans="1:10" ht="108" x14ac:dyDescent="0.25">
      <c r="A63" s="9" t="s">
        <v>71</v>
      </c>
    </row>
  </sheetData>
  <mergeCells count="25">
    <mergeCell ref="A60:J60"/>
    <mergeCell ref="A1:J1"/>
    <mergeCell ref="B51:J51"/>
    <mergeCell ref="B5:J5"/>
    <mergeCell ref="A61:J61"/>
    <mergeCell ref="A47:E47"/>
    <mergeCell ref="A33:H33"/>
    <mergeCell ref="A48:C48"/>
    <mergeCell ref="B54:J54"/>
    <mergeCell ref="B7:J7"/>
    <mergeCell ref="A56:J56"/>
    <mergeCell ref="A50:J50"/>
    <mergeCell ref="A57:J57"/>
    <mergeCell ref="A2:J2"/>
    <mergeCell ref="B52:J52"/>
    <mergeCell ref="A58:J58"/>
    <mergeCell ref="B9:J9"/>
    <mergeCell ref="A59:J59"/>
    <mergeCell ref="A11:D11"/>
    <mergeCell ref="B6:J6"/>
    <mergeCell ref="A17:J17"/>
    <mergeCell ref="A4:J4"/>
    <mergeCell ref="B8:J8"/>
    <mergeCell ref="B53:J53"/>
    <mergeCell ref="A31:J3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test1_baseline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Sjöström</cp:lastModifiedBy>
  <cp:revision>0</cp:revision>
  <dcterms:created xsi:type="dcterms:W3CDTF">2026-08-16T08:08:31Z</dcterms:created>
  <dcterms:modified xsi:type="dcterms:W3CDTF">2026-08-16T08:28:29Z</dcterms:modified>
  <dc:language>en-US</dc:language>
</cp:coreProperties>
</file>